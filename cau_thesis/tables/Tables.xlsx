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_hennings/Uni/Master/Master_Thesis/thesis/tables/"/>
    </mc:Choice>
  </mc:AlternateContent>
  <xr:revisionPtr revIDLastSave="0" documentId="13_ncr:1_{86908973-25CE-1049-9BD4-35B10DEA567B}" xr6:coauthVersionLast="47" xr6:coauthVersionMax="47" xr10:uidLastSave="{00000000-0000-0000-0000-000000000000}"/>
  <bookViews>
    <workbookView xWindow="0" yWindow="500" windowWidth="33600" windowHeight="18960" activeTab="2" xr2:uid="{15BA1556-BDE6-1348-BD0D-FFC83E31DD8E}"/>
  </bookViews>
  <sheets>
    <sheet name="Combined-&gt;" sheetId="4" r:id="rId1"/>
    <sheet name="TradingVolume2025" sheetId="1" r:id="rId2"/>
    <sheet name="TradingVolumeHistoric" sheetId="2" r:id="rId3"/>
    <sheet name="HourlyProductsTabl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5" i="1"/>
  <c r="C2" i="1" s="1"/>
  <c r="C3" i="1" l="1"/>
  <c r="C4" i="1"/>
</calcChain>
</file>

<file path=xl/sharedStrings.xml><?xml version="1.0" encoding="utf-8"?>
<sst xmlns="http://schemas.openxmlformats.org/spreadsheetml/2006/main" count="191" uniqueCount="187">
  <si>
    <t>Market</t>
  </si>
  <si>
    <t>Derivatives</t>
  </si>
  <si>
    <t>Day-Ahead (Forward/Spot)</t>
  </si>
  <si>
    <t>Intraday (Continuous+Auctions)</t>
  </si>
  <si>
    <t>Total</t>
  </si>
  <si>
    <t>Trading Volume (in TWh, 2025)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</si>
  <si>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</si>
  <si>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</si>
  <si>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</si>
  <si>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</si>
  <si>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</si>
  <si>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</si>
  <si>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</si>
  <si>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</si>
  <si>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</si>
  <si>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</si>
  <si>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</si>
  <si>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</si>
  <si>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</si>
  <si>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</si>
  <si>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</si>
  <si>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</si>
  <si>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</si>
  <si>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</si>
  <si>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</si>
  <si>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</si>
  <si>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</si>
  <si>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</si>
  <si>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</si>
  <si>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</si>
  <si>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%</t>
  </si>
  <si>
    <t>Year</t>
  </si>
  <si>
    <t>Hourly Product</t>
  </si>
  <si>
    <t>Delivery Interval (CET)</t>
  </si>
  <si>
    <t>Cross-Border Gate Closure (CET)</t>
  </si>
  <si>
    <t>Max Cross-Border Trading Duration</t>
  </si>
  <si>
    <t>Local German Gate Closure (CET)</t>
  </si>
  <si>
    <t>Max Local German Trading Duration</t>
  </si>
  <si>
    <t>Next-Day Hours Open in Parallel</t>
  </si>
  <si>
    <t>Hour 01</t>
  </si>
  <si>
    <t>00:00 - 01:00</t>
  </si>
  <si>
    <t>23:30 (D-1)</t>
  </si>
  <si>
    <t>8 hours 30 mins</t>
  </si>
  <si>
    <t>23:55 (D-1)</t>
  </si>
  <si>
    <t>8 hours 55 mins</t>
  </si>
  <si>
    <t>Hour 02</t>
  </si>
  <si>
    <t>01:00 - 02:00</t>
  </si>
  <si>
    <t>00:30 (D)</t>
  </si>
  <si>
    <t>9 hours 30 mins</t>
  </si>
  <si>
    <t>00:55 (D)</t>
  </si>
  <si>
    <t>9 hours 55 mins</t>
  </si>
  <si>
    <t>Hour 03</t>
  </si>
  <si>
    <t>02:00 - 03:00</t>
  </si>
  <si>
    <t>01:30 (D)</t>
  </si>
  <si>
    <t>10 hours 30 mins</t>
  </si>
  <si>
    <t>01:55 (D)</t>
  </si>
  <si>
    <t>10 hours 55 mins</t>
  </si>
  <si>
    <t>Hour 04</t>
  </si>
  <si>
    <t>03:00 - 04:00</t>
  </si>
  <si>
    <t>02:30 (D)</t>
  </si>
  <si>
    <t>11 hours 30 mins</t>
  </si>
  <si>
    <t>02:55 (D)</t>
  </si>
  <si>
    <t>11 hours 55 mins</t>
  </si>
  <si>
    <t>Hour 05</t>
  </si>
  <si>
    <t>04:00 - 05:00</t>
  </si>
  <si>
    <t>03:30 (D)</t>
  </si>
  <si>
    <t>12 hours 30 mins</t>
  </si>
  <si>
    <t>03:55 (D)</t>
  </si>
  <si>
    <t>12 hours 55 mins</t>
  </si>
  <si>
    <t>Hour 06</t>
  </si>
  <si>
    <t>05:00 - 06:00</t>
  </si>
  <si>
    <t>04:30 (D)</t>
  </si>
  <si>
    <t>13 hours 30 mins</t>
  </si>
  <si>
    <t>04:55 (D)</t>
  </si>
  <si>
    <t>13 hours 55 mins</t>
  </si>
  <si>
    <t>Hour 07</t>
  </si>
  <si>
    <t>06:00 - 07:00</t>
  </si>
  <si>
    <t>05:30 (D)</t>
  </si>
  <si>
    <t>14 hours 30 mins</t>
  </si>
  <si>
    <t>05:55 (D)</t>
  </si>
  <si>
    <t>14 hours 55 mins</t>
  </si>
  <si>
    <t>Hour 08</t>
  </si>
  <si>
    <t>07:00 - 08:00</t>
  </si>
  <si>
    <t>06:30 (D)</t>
  </si>
  <si>
    <t>15 hours 30 mins</t>
  </si>
  <si>
    <t>06:55 (D)</t>
  </si>
  <si>
    <t>15 hours 55 mins</t>
  </si>
  <si>
    <t>Hour 09</t>
  </si>
  <si>
    <t>08:00 - 09:00</t>
  </si>
  <si>
    <t>07:30 (D)</t>
  </si>
  <si>
    <t>16 hours 30 mins</t>
  </si>
  <si>
    <t>07:55 (D)</t>
  </si>
  <si>
    <t>16 hours 55 mins</t>
  </si>
  <si>
    <t>Hour 10</t>
  </si>
  <si>
    <t>09:00 - 10:00</t>
  </si>
  <si>
    <t>08:30 (D)</t>
  </si>
  <si>
    <t>17 hours 30 mins</t>
  </si>
  <si>
    <t>08:55 (D)</t>
  </si>
  <si>
    <t>17 hours 55 mins</t>
  </si>
  <si>
    <t>Hour 11</t>
  </si>
  <si>
    <t>10:00 - 11:00</t>
  </si>
  <si>
    <t>09:30 (D)</t>
  </si>
  <si>
    <t>18 hours 30 mins</t>
  </si>
  <si>
    <t>09:55 (D)</t>
  </si>
  <si>
    <t>18 hours 55 mins</t>
  </si>
  <si>
    <t>Hour 12</t>
  </si>
  <si>
    <t>11:00 - 12:00</t>
  </si>
  <si>
    <t>10:30 (D)</t>
  </si>
  <si>
    <t>19 hours 30 mins</t>
  </si>
  <si>
    <t>10:55 (D)</t>
  </si>
  <si>
    <t>19 hours 55 mins</t>
  </si>
  <si>
    <t>Hour 13</t>
  </si>
  <si>
    <t>12:00 - 13:00</t>
  </si>
  <si>
    <t>11:30 (D)</t>
  </si>
  <si>
    <t>20 hours 30 mins</t>
  </si>
  <si>
    <t>11:55 (D)</t>
  </si>
  <si>
    <t>20 hours 55 mins</t>
  </si>
  <si>
    <t>Hour 14</t>
  </si>
  <si>
    <t>13:00 - 14:00</t>
  </si>
  <si>
    <t>12:30 (D)</t>
  </si>
  <si>
    <t>21 hours 30 mins</t>
  </si>
  <si>
    <t>12:55 (D)</t>
  </si>
  <si>
    <t>21 hours 55 mins</t>
  </si>
  <si>
    <t>Hour 15</t>
  </si>
  <si>
    <t>14:00 - 15:00</t>
  </si>
  <si>
    <t>13:30 (D)</t>
  </si>
  <si>
    <t>22 hours 30 mins</t>
  </si>
  <si>
    <t>13:55 (D)</t>
  </si>
  <si>
    <t>22 hours 55 mins</t>
  </si>
  <si>
    <t>Hour 16</t>
  </si>
  <si>
    <t>15:00 - 16:00</t>
  </si>
  <si>
    <t>14:30 (D)</t>
  </si>
  <si>
    <t>23 hours 30 mins</t>
  </si>
  <si>
    <t>14:55 (D)</t>
  </si>
  <si>
    <t>23 hours 55 mins</t>
  </si>
  <si>
    <t>Hour 17</t>
  </si>
  <si>
    <t>16:00 - 17:00</t>
  </si>
  <si>
    <t>15:30 (D)</t>
  </si>
  <si>
    <t>24 hours 30 mins</t>
  </si>
  <si>
    <t>15:55 (D)</t>
  </si>
  <si>
    <t>24 hours 55 mins</t>
  </si>
  <si>
    <t>Hour 18</t>
  </si>
  <si>
    <t>17:00 - 18:00</t>
  </si>
  <si>
    <t>16:30 (D)</t>
  </si>
  <si>
    <t>25 hours 30 mins</t>
  </si>
  <si>
    <t>16:55 (D)</t>
  </si>
  <si>
    <t>25 hours 55 mins</t>
  </si>
  <si>
    <t>Hour 19</t>
  </si>
  <si>
    <t>18:00 - 19:00</t>
  </si>
  <si>
    <t>17:30 (D)</t>
  </si>
  <si>
    <t>26 hours 30 mins</t>
  </si>
  <si>
    <t>17:55 (D)</t>
  </si>
  <si>
    <t>26 hours 55 mins</t>
  </si>
  <si>
    <t>Hour 20</t>
  </si>
  <si>
    <t>19:00 - 20:00</t>
  </si>
  <si>
    <t>18:30 (D)</t>
  </si>
  <si>
    <t>27 hours 30 mins</t>
  </si>
  <si>
    <t>18:55 (D)</t>
  </si>
  <si>
    <t>27 hours 55 mins</t>
  </si>
  <si>
    <t>Hour 21</t>
  </si>
  <si>
    <t>20:00 - 21:00</t>
  </si>
  <si>
    <t>19:30 (D)</t>
  </si>
  <si>
    <t>28 hours 30 mins</t>
  </si>
  <si>
    <t>19:55 (D)</t>
  </si>
  <si>
    <t>28 hours 55 mins</t>
  </si>
  <si>
    <t>Hour 22</t>
  </si>
  <si>
    <t>21:00 - 22:00</t>
  </si>
  <si>
    <t>20:30 (D)</t>
  </si>
  <si>
    <t>29 hours 30 mins</t>
  </si>
  <si>
    <t>20:55 (D)</t>
  </si>
  <si>
    <t>29 hours 55 mins</t>
  </si>
  <si>
    <t>Hour 23</t>
  </si>
  <si>
    <t>22:00 - 23:00</t>
  </si>
  <si>
    <t>21:30 (D)</t>
  </si>
  <si>
    <t>30 hours 30 mins</t>
  </si>
  <si>
    <t>21:55 (D)</t>
  </si>
  <si>
    <t>30 hours 55 mins</t>
  </si>
  <si>
    <t>Hour 24</t>
  </si>
  <si>
    <t>23:00 - 24:00</t>
  </si>
  <si>
    <t>22:30 (D)</t>
  </si>
  <si>
    <t>31 hours 30 mins</t>
  </si>
  <si>
    <t>22:55 (D)</t>
  </si>
  <si>
    <t>31 hours 55 mins</t>
  </si>
  <si>
    <t>Source:</t>
  </si>
  <si>
    <t>Last accessed:</t>
  </si>
  <si>
    <t>Day-Ahead + Intraday (lhs.)</t>
  </si>
  <si>
    <t>Derivatives (rhs.)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</si>
</sst>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sz val="12"/>
      <color theme="1"/>
      <name val="CMU Serif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0" fontId="3" fillId="0" borderId="1" xfId="0" applyFont="1" applyBorder="1"/>
    <xf numFmtId="0" fontId="3" fillId="0" borderId="1" xfId="2" applyFont="1" applyBorder="1" applyAlignment="1">
      <alignment horizontal="right" vertical="center"/>
    </xf>
    <xf numFmtId="0" fontId="3" fillId="0" borderId="0" xfId="0" applyFont="1"/>
    <xf numFmtId="0" fontId="3" fillId="0" borderId="1" xfId="2" applyFont="1" applyBorder="1" applyAlignment="1">
      <alignment horizontal="left" vertical="center"/>
    </xf>
    <xf numFmtId="3" fontId="3" fillId="0" borderId="1" xfId="2" applyNumberFormat="1" applyFont="1" applyBorder="1" applyAlignment="1">
      <alignment horizontal="right" vertical="center"/>
    </xf>
    <xf numFmtId="22" fontId="3" fillId="0" borderId="1" xfId="0" applyNumberFormat="1" applyFont="1" applyBorder="1"/>
    <xf numFmtId="10" fontId="3" fillId="0" borderId="1" xfId="1" applyNumberFormat="1" applyFont="1" applyBorder="1"/>
  </cellXfs>
  <cellStyles count="3">
    <cellStyle name="Normal" xfId="2" xr:uid="{0A12999F-AF0A-4444-8849-EBF465BA878C}"/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9B0A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TradingVolume2025!$B$1</c:f>
              <c:strCache>
                <c:ptCount val="1"/>
                <c:pt idx="0">
                  <c:v>Trading Volume (in TWh, 2025)</c:v>
                </c:pt>
              </c:strCache>
            </c:strRef>
          </c:tx>
          <c:dPt>
            <c:idx val="0"/>
            <c:bubble3D val="0"/>
            <c:spPr>
              <a:pattFill prst="pct30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91-CF47-A32B-48C98EC82AE1}"/>
              </c:ext>
            </c:extLst>
          </c:dPt>
          <c:dPt>
            <c:idx val="1"/>
            <c:bubble3D val="0"/>
            <c:spPr>
              <a:pattFill prst="lgGrid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991-CF47-A32B-48C98EC82AE1}"/>
              </c:ext>
            </c:extLst>
          </c:dPt>
          <c:dPt>
            <c:idx val="2"/>
            <c:bubble3D val="0"/>
            <c:spPr>
              <a:pattFill prst="lgCheck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991-CF47-A32B-48C98EC82AE1}"/>
              </c:ext>
            </c:extLst>
          </c:dPt>
          <c:dLbls>
            <c:dLbl>
              <c:idx val="0"/>
              <c:layout>
                <c:manualLayout>
                  <c:x val="1.8326590801591394E-2"/>
                  <c:y val="9.2021632215021163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91-CF47-A32B-48C98EC82AE1}"/>
                </c:ext>
              </c:extLst>
            </c:dLbl>
            <c:dLbl>
              <c:idx val="1"/>
              <c:layout>
                <c:manualLayout>
                  <c:x val="-4.2482891994439088E-2"/>
                  <c:y val="-8.8140007440138418E-18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991-CF47-A32B-48C98EC82AE1}"/>
                </c:ext>
              </c:extLst>
            </c:dLbl>
            <c:dLbl>
              <c:idx val="2"/>
              <c:layout>
                <c:manualLayout>
                  <c:x val="0.11885601402298211"/>
                  <c:y val="5.64295470440248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91-CF47-A32B-48C98EC82AE1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MU Serif Roman" panose="02000603000000000000" pitchFamily="2" charset="0"/>
                    <a:ea typeface="CMU Serif Roman" panose="02000603000000000000" pitchFamily="2" charset="0"/>
                    <a:cs typeface="CMU Serif Roman" panose="02000603000000000000" pitchFamily="2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TradingVolume2025!$A$2:$A$4</c:f>
              <c:strCache>
                <c:ptCount val="3"/>
                <c:pt idx="0">
                  <c:v>Derivatives</c:v>
                </c:pt>
                <c:pt idx="1">
                  <c:v>Day-Ahead (Forward/Spot)</c:v>
                </c:pt>
                <c:pt idx="2">
                  <c:v>Intraday (Continuous+Auctions)</c:v>
                </c:pt>
              </c:strCache>
            </c:strRef>
          </c:cat>
          <c:val>
            <c:numRef>
              <c:f>TradingVolume2025!$B$2:$B$4</c:f>
              <c:numCache>
                <c:formatCode>General</c:formatCode>
                <c:ptCount val="3"/>
                <c:pt idx="0">
                  <c:v>9330</c:v>
                </c:pt>
                <c:pt idx="1">
                  <c:v>676</c:v>
                </c:pt>
                <c:pt idx="2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1-CF47-A32B-48C98EC82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CMU Serif Roman" panose="02000603000000000000" pitchFamily="2" charset="0"/>
          <a:ea typeface="CMU Serif Roman" panose="02000603000000000000" pitchFamily="2" charset="0"/>
          <a:cs typeface="CMU Serif Roman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TradingVolumeHistoric!$B$1</c:f>
              <c:strCache>
                <c:ptCount val="1"/>
                <c:pt idx="0">
                  <c:v>Day-Ahead + Intraday (lhs.)</c:v>
                </c:pt>
              </c:strCache>
            </c:strRef>
          </c:tx>
          <c:spPr>
            <a:ln w="28575" cap="rnd">
              <a:solidFill>
                <a:srgbClr val="9B0A7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B0A7D"/>
              </a:solidFill>
              <a:ln w="9525">
                <a:solidFill>
                  <a:srgbClr val="9B0A7D"/>
                </a:solidFill>
              </a:ln>
              <a:effectLst/>
            </c:spPr>
          </c:marker>
          <c:cat>
            <c:strRef>
              <c:f>TradingVolumeHistoric!$A$2:$A$25</c:f>
              <c:strCach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strCache>
            </c:strRef>
          </c:cat>
          <c:val>
            <c:numRef>
              <c:f>TradingVolumeHistoric!$B$2:$B$25</c:f>
              <c:numCache>
                <c:formatCode>#,##0</c:formatCode>
                <c:ptCount val="24"/>
                <c:pt idx="0">
                  <c:v>31</c:v>
                </c:pt>
                <c:pt idx="1">
                  <c:v>49</c:v>
                </c:pt>
                <c:pt idx="2">
                  <c:v>60</c:v>
                </c:pt>
                <c:pt idx="3">
                  <c:v>86</c:v>
                </c:pt>
                <c:pt idx="4">
                  <c:v>89</c:v>
                </c:pt>
                <c:pt idx="5">
                  <c:v>124</c:v>
                </c:pt>
                <c:pt idx="6">
                  <c:v>154</c:v>
                </c:pt>
                <c:pt idx="7">
                  <c:v>203</c:v>
                </c:pt>
                <c:pt idx="8">
                  <c:v>279</c:v>
                </c:pt>
                <c:pt idx="9">
                  <c:v>309</c:v>
                </c:pt>
                <c:pt idx="10">
                  <c:v>339</c:v>
                </c:pt>
                <c:pt idx="11">
                  <c:v>345</c:v>
                </c:pt>
                <c:pt idx="12">
                  <c:v>387</c:v>
                </c:pt>
                <c:pt idx="13">
                  <c:v>524</c:v>
                </c:pt>
                <c:pt idx="14">
                  <c:v>535</c:v>
                </c:pt>
                <c:pt idx="15">
                  <c:v>543</c:v>
                </c:pt>
                <c:pt idx="16">
                  <c:v>577</c:v>
                </c:pt>
                <c:pt idx="17">
                  <c:v>598</c:v>
                </c:pt>
                <c:pt idx="18">
                  <c:v>622</c:v>
                </c:pt>
                <c:pt idx="19">
                  <c:v>629</c:v>
                </c:pt>
                <c:pt idx="20">
                  <c:v>616</c:v>
                </c:pt>
                <c:pt idx="21">
                  <c:v>724</c:v>
                </c:pt>
                <c:pt idx="22">
                  <c:v>868</c:v>
                </c:pt>
                <c:pt idx="23">
                  <c:v>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98-AA42-A8DC-F4783F8D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171984"/>
        <c:axId val="1340722416"/>
      </c:lineChart>
      <c:lineChart>
        <c:grouping val="stacked"/>
        <c:varyColors val="0"/>
        <c:ser>
          <c:idx val="1"/>
          <c:order val="1"/>
          <c:tx>
            <c:strRef>
              <c:f>TradingVolumeHistoric!$C$1</c:f>
              <c:strCache>
                <c:ptCount val="1"/>
                <c:pt idx="0">
                  <c:v>Derivatives (rhs.)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TradingVolumeHistoric!$A$2:$A$25</c:f>
              <c:strCach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strCache>
            </c:strRef>
          </c:cat>
          <c:val>
            <c:numRef>
              <c:f>TradingVolumeHistoric!$C$2:$C$25</c:f>
              <c:numCache>
                <c:formatCode>#,##0</c:formatCode>
                <c:ptCount val="24"/>
                <c:pt idx="0">
                  <c:v>119</c:v>
                </c:pt>
                <c:pt idx="1">
                  <c:v>432</c:v>
                </c:pt>
                <c:pt idx="2">
                  <c:v>338</c:v>
                </c:pt>
                <c:pt idx="3">
                  <c:v>517</c:v>
                </c:pt>
                <c:pt idx="4">
                  <c:v>1044</c:v>
                </c:pt>
                <c:pt idx="5">
                  <c:v>1150</c:v>
                </c:pt>
                <c:pt idx="6">
                  <c:v>1165</c:v>
                </c:pt>
                <c:pt idx="7">
                  <c:v>1025</c:v>
                </c:pt>
                <c:pt idx="8">
                  <c:v>1208</c:v>
                </c:pt>
                <c:pt idx="9">
                  <c:v>1075</c:v>
                </c:pt>
                <c:pt idx="10">
                  <c:v>931</c:v>
                </c:pt>
                <c:pt idx="11">
                  <c:v>1266</c:v>
                </c:pt>
                <c:pt idx="12">
                  <c:v>1570</c:v>
                </c:pt>
                <c:pt idx="13">
                  <c:v>2537</c:v>
                </c:pt>
                <c:pt idx="14">
                  <c:v>3920</c:v>
                </c:pt>
                <c:pt idx="15">
                  <c:v>2822</c:v>
                </c:pt>
                <c:pt idx="16">
                  <c:v>3347</c:v>
                </c:pt>
                <c:pt idx="17">
                  <c:v>3973</c:v>
                </c:pt>
                <c:pt idx="18">
                  <c:v>4736</c:v>
                </c:pt>
                <c:pt idx="19">
                  <c:v>4568</c:v>
                </c:pt>
                <c:pt idx="20">
                  <c:v>3344</c:v>
                </c:pt>
                <c:pt idx="21">
                  <c:v>5185</c:v>
                </c:pt>
                <c:pt idx="22">
                  <c:v>8439</c:v>
                </c:pt>
                <c:pt idx="23">
                  <c:v>9330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98-AA42-A8DC-F4783F8D9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924528"/>
        <c:axId val="532139040"/>
      </c:lineChart>
      <c:catAx>
        <c:axId val="109817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 Roman" panose="02000603000000000000" pitchFamily="2" charset="0"/>
                <a:ea typeface="CMU Serif Roman" panose="02000603000000000000" pitchFamily="2" charset="0"/>
                <a:cs typeface="CMU Serif Roman" panose="02000603000000000000" pitchFamily="2" charset="0"/>
              </a:defRPr>
            </a:pPr>
            <a:endParaRPr lang="de-DE"/>
          </a:p>
        </c:txPr>
        <c:crossAx val="1340722416"/>
        <c:crosses val="autoZero"/>
        <c:auto val="1"/>
        <c:lblAlgn val="ctr"/>
        <c:lblOffset val="100"/>
        <c:noMultiLvlLbl val="0"/>
      </c:catAx>
      <c:valAx>
        <c:axId val="134072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 Roman" panose="02000603000000000000" pitchFamily="2" charset="0"/>
                <a:ea typeface="CMU Serif Roman" panose="02000603000000000000" pitchFamily="2" charset="0"/>
                <a:cs typeface="CMU Serif Roman" panose="02000603000000000000" pitchFamily="2" charset="0"/>
              </a:defRPr>
            </a:pPr>
            <a:endParaRPr lang="de-DE"/>
          </a:p>
        </c:txPr>
        <c:crossAx val="1098171984"/>
        <c:crosses val="autoZero"/>
        <c:crossBetween val="between"/>
      </c:valAx>
      <c:valAx>
        <c:axId val="5321390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 Roman" panose="02000603000000000000" pitchFamily="2" charset="0"/>
                <a:ea typeface="CMU Serif Roman" panose="02000603000000000000" pitchFamily="2" charset="0"/>
                <a:cs typeface="CMU Serif Roman" panose="02000603000000000000" pitchFamily="2" charset="0"/>
              </a:defRPr>
            </a:pPr>
            <a:endParaRPr lang="de-DE"/>
          </a:p>
        </c:txPr>
        <c:crossAx val="1115924528"/>
        <c:crosses val="max"/>
        <c:crossBetween val="between"/>
      </c:valAx>
      <c:catAx>
        <c:axId val="1115924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2139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MU Serif Roman" panose="02000603000000000000" pitchFamily="2" charset="0"/>
              <a:ea typeface="CMU Serif Roman" panose="02000603000000000000" pitchFamily="2" charset="0"/>
              <a:cs typeface="CMU Serif Roman" panose="02000603000000000000" pitchFamily="2" charset="0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CMU Serif Roman" panose="02000603000000000000" pitchFamily="2" charset="0"/>
          <a:ea typeface="CMU Serif Roman" panose="02000603000000000000" pitchFamily="2" charset="0"/>
          <a:cs typeface="CMU Serif Roman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tx>
            <c:strRef>
              <c:f>TradingVolumeHistoric!$B$1</c:f>
              <c:strCache>
                <c:ptCount val="1"/>
                <c:pt idx="0">
                  <c:v>Day-Ahead + Intraday (lhs.)</c:v>
                </c:pt>
              </c:strCache>
            </c:strRef>
          </c:tx>
          <c:spPr>
            <a:ln w="28575" cap="rnd">
              <a:solidFill>
                <a:srgbClr val="9B0A7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B0A7D"/>
              </a:solidFill>
              <a:ln w="9525">
                <a:solidFill>
                  <a:srgbClr val="9B0A7D"/>
                </a:solidFill>
              </a:ln>
              <a:effectLst/>
            </c:spPr>
          </c:marker>
          <c:cat>
            <c:strRef>
              <c:f>TradingVolumeHistoric!$A$2:$A$25</c:f>
              <c:strCach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strCache>
            </c:strRef>
          </c:cat>
          <c:val>
            <c:numRef>
              <c:f>TradingVolumeHistoric!$B$2:$B$25</c:f>
              <c:numCache>
                <c:formatCode>#,##0</c:formatCode>
                <c:ptCount val="24"/>
                <c:pt idx="0">
                  <c:v>31</c:v>
                </c:pt>
                <c:pt idx="1">
                  <c:v>49</c:v>
                </c:pt>
                <c:pt idx="2">
                  <c:v>60</c:v>
                </c:pt>
                <c:pt idx="3">
                  <c:v>86</c:v>
                </c:pt>
                <c:pt idx="4">
                  <c:v>89</c:v>
                </c:pt>
                <c:pt idx="5">
                  <c:v>124</c:v>
                </c:pt>
                <c:pt idx="6">
                  <c:v>154</c:v>
                </c:pt>
                <c:pt idx="7">
                  <c:v>203</c:v>
                </c:pt>
                <c:pt idx="8">
                  <c:v>279</c:v>
                </c:pt>
                <c:pt idx="9">
                  <c:v>309</c:v>
                </c:pt>
                <c:pt idx="10">
                  <c:v>339</c:v>
                </c:pt>
                <c:pt idx="11">
                  <c:v>345</c:v>
                </c:pt>
                <c:pt idx="12">
                  <c:v>387</c:v>
                </c:pt>
                <c:pt idx="13">
                  <c:v>524</c:v>
                </c:pt>
                <c:pt idx="14">
                  <c:v>535</c:v>
                </c:pt>
                <c:pt idx="15">
                  <c:v>543</c:v>
                </c:pt>
                <c:pt idx="16">
                  <c:v>577</c:v>
                </c:pt>
                <c:pt idx="17">
                  <c:v>598</c:v>
                </c:pt>
                <c:pt idx="18">
                  <c:v>622</c:v>
                </c:pt>
                <c:pt idx="19">
                  <c:v>629</c:v>
                </c:pt>
                <c:pt idx="20">
                  <c:v>616</c:v>
                </c:pt>
                <c:pt idx="21">
                  <c:v>724</c:v>
                </c:pt>
                <c:pt idx="22">
                  <c:v>868</c:v>
                </c:pt>
                <c:pt idx="23">
                  <c:v>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A-C74E-99AC-3CF498D47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8171984"/>
        <c:axId val="1340722416"/>
      </c:lineChart>
      <c:lineChart>
        <c:grouping val="stacked"/>
        <c:varyColors val="0"/>
        <c:ser>
          <c:idx val="1"/>
          <c:order val="1"/>
          <c:tx>
            <c:strRef>
              <c:f>TradingVolumeHistoric!$C$1</c:f>
              <c:strCache>
                <c:ptCount val="1"/>
                <c:pt idx="0">
                  <c:v>Derivatives (rhs.)</c:v>
                </c:pt>
              </c:strCache>
            </c:strRef>
          </c:tx>
          <c:spPr>
            <a:ln w="28575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TradingVolumeHistoric!$A$2:$A$25</c:f>
              <c:strCache>
                <c:ptCount val="24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  <c:pt idx="17">
                  <c:v>2019</c:v>
                </c:pt>
                <c:pt idx="18">
                  <c:v>2020</c:v>
                </c:pt>
                <c:pt idx="19">
                  <c:v>2021</c:v>
                </c:pt>
                <c:pt idx="20">
                  <c:v>2022</c:v>
                </c:pt>
                <c:pt idx="21">
                  <c:v>2023</c:v>
                </c:pt>
                <c:pt idx="22">
                  <c:v>2024</c:v>
                </c:pt>
                <c:pt idx="23">
                  <c:v>2025</c:v>
                </c:pt>
              </c:strCache>
            </c:strRef>
          </c:cat>
          <c:val>
            <c:numRef>
              <c:f>TradingVolumeHistoric!$C$2:$C$25</c:f>
              <c:numCache>
                <c:formatCode>#,##0</c:formatCode>
                <c:ptCount val="24"/>
                <c:pt idx="0">
                  <c:v>119</c:v>
                </c:pt>
                <c:pt idx="1">
                  <c:v>432</c:v>
                </c:pt>
                <c:pt idx="2">
                  <c:v>338</c:v>
                </c:pt>
                <c:pt idx="3">
                  <c:v>517</c:v>
                </c:pt>
                <c:pt idx="4">
                  <c:v>1044</c:v>
                </c:pt>
                <c:pt idx="5">
                  <c:v>1150</c:v>
                </c:pt>
                <c:pt idx="6">
                  <c:v>1165</c:v>
                </c:pt>
                <c:pt idx="7">
                  <c:v>1025</c:v>
                </c:pt>
                <c:pt idx="8">
                  <c:v>1208</c:v>
                </c:pt>
                <c:pt idx="9">
                  <c:v>1075</c:v>
                </c:pt>
                <c:pt idx="10">
                  <c:v>931</c:v>
                </c:pt>
                <c:pt idx="11">
                  <c:v>1266</c:v>
                </c:pt>
                <c:pt idx="12">
                  <c:v>1570</c:v>
                </c:pt>
                <c:pt idx="13">
                  <c:v>2537</c:v>
                </c:pt>
                <c:pt idx="14">
                  <c:v>3920</c:v>
                </c:pt>
                <c:pt idx="15">
                  <c:v>2822</c:v>
                </c:pt>
                <c:pt idx="16">
                  <c:v>3347</c:v>
                </c:pt>
                <c:pt idx="17">
                  <c:v>3973</c:v>
                </c:pt>
                <c:pt idx="18">
                  <c:v>4736</c:v>
                </c:pt>
                <c:pt idx="19">
                  <c:v>4568</c:v>
                </c:pt>
                <c:pt idx="20">
                  <c:v>3344</c:v>
                </c:pt>
                <c:pt idx="21">
                  <c:v>5185</c:v>
                </c:pt>
                <c:pt idx="22">
                  <c:v>8439</c:v>
                </c:pt>
                <c:pt idx="23">
                  <c:v>9330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0A-C74E-99AC-3CF498D473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5924528"/>
        <c:axId val="532139040"/>
      </c:lineChart>
      <c:catAx>
        <c:axId val="109817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 Roman" panose="02000603000000000000" pitchFamily="2" charset="0"/>
                <a:ea typeface="CMU Serif Roman" panose="02000603000000000000" pitchFamily="2" charset="0"/>
                <a:cs typeface="CMU Serif Roman" panose="02000603000000000000" pitchFamily="2" charset="0"/>
              </a:defRPr>
            </a:pPr>
            <a:endParaRPr lang="de-DE"/>
          </a:p>
        </c:txPr>
        <c:crossAx val="1340722416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34072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 Roman" panose="02000603000000000000" pitchFamily="2" charset="0"/>
                <a:ea typeface="CMU Serif Roman" panose="02000603000000000000" pitchFamily="2" charset="0"/>
                <a:cs typeface="CMU Serif Roman" panose="02000603000000000000" pitchFamily="2" charset="0"/>
              </a:defRPr>
            </a:pPr>
            <a:endParaRPr lang="de-DE"/>
          </a:p>
        </c:txPr>
        <c:crossAx val="1098171984"/>
        <c:crosses val="autoZero"/>
        <c:crossBetween val="between"/>
      </c:valAx>
      <c:valAx>
        <c:axId val="532139040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MU Serif Roman" panose="02000603000000000000" pitchFamily="2" charset="0"/>
                <a:ea typeface="CMU Serif Roman" panose="02000603000000000000" pitchFamily="2" charset="0"/>
                <a:cs typeface="CMU Serif Roman" panose="02000603000000000000" pitchFamily="2" charset="0"/>
              </a:defRPr>
            </a:pPr>
            <a:endParaRPr lang="de-DE"/>
          </a:p>
        </c:txPr>
        <c:crossAx val="1115924528"/>
        <c:crosses val="max"/>
        <c:crossBetween val="between"/>
      </c:valAx>
      <c:catAx>
        <c:axId val="1115924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21390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MU Serif Roman" panose="02000603000000000000" pitchFamily="2" charset="0"/>
              <a:ea typeface="CMU Serif Roman" panose="02000603000000000000" pitchFamily="2" charset="0"/>
              <a:cs typeface="CMU Serif Roman" panose="02000603000000000000" pitchFamily="2" charset="0"/>
            </a:defRPr>
          </a:pPr>
          <a:endParaRPr lang="de-DE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latin typeface="CMU Serif Roman" panose="02000603000000000000" pitchFamily="2" charset="0"/>
          <a:ea typeface="CMU Serif Roman" panose="02000603000000000000" pitchFamily="2" charset="0"/>
          <a:cs typeface="CMU Serif Roman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TradingVolume2025!$B$1</c:f>
              <c:strCache>
                <c:ptCount val="1"/>
                <c:pt idx="0">
                  <c:v>Trading Volume (in TWh, 2025)</c:v>
                </c:pt>
              </c:strCache>
            </c:strRef>
          </c:tx>
          <c:dPt>
            <c:idx val="0"/>
            <c:bubble3D val="0"/>
            <c:spPr>
              <a:pattFill prst="pct30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78-7740-A079-79E8CEF1E314}"/>
              </c:ext>
            </c:extLst>
          </c:dPt>
          <c:dPt>
            <c:idx val="1"/>
            <c:bubble3D val="0"/>
            <c:spPr>
              <a:pattFill prst="lgGrid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78-7740-A079-79E8CEF1E314}"/>
              </c:ext>
            </c:extLst>
          </c:dPt>
          <c:dPt>
            <c:idx val="2"/>
            <c:bubble3D val="0"/>
            <c:spPr>
              <a:pattFill prst="lgCheck">
                <a:fgClr>
                  <a:schemeClr val="bg1">
                    <a:lumMod val="50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78-7740-A079-79E8CEF1E314}"/>
              </c:ext>
            </c:extLst>
          </c:dPt>
          <c:dLbls>
            <c:dLbl>
              <c:idx val="0"/>
              <c:layout>
                <c:manualLayout>
                  <c:x val="0.21369135245174764"/>
                  <c:y val="-8.0613285129638459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MU Serif Roman" panose="02000603000000000000" pitchFamily="2" charset="0"/>
                      <a:ea typeface="CMU Serif Roman" panose="02000603000000000000" pitchFamily="2" charset="0"/>
                      <a:cs typeface="CMU Serif Roman" panose="02000603000000000000" pitchFamily="2" charset="0"/>
                    </a:defRPr>
                  </a:pPr>
                  <a:endParaRPr lang="de-DE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178-7740-A079-79E8CEF1E314}"/>
                </c:ext>
              </c:extLst>
            </c:dLbl>
            <c:dLbl>
              <c:idx val="1"/>
              <c:layout>
                <c:manualLayout>
                  <c:x val="-0.16232851779288676"/>
                  <c:y val="8.6556733934993503E-3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MU Serif Roman" panose="02000603000000000000" pitchFamily="2" charset="0"/>
                      <a:ea typeface="CMU Serif Roman" panose="02000603000000000000" pitchFamily="2" charset="0"/>
                      <a:cs typeface="CMU Serif Roman" panose="02000603000000000000" pitchFamily="2" charset="0"/>
                    </a:defRPr>
                  </a:pPr>
                  <a:endParaRPr lang="de-DE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178-7740-A079-79E8CEF1E314}"/>
                </c:ext>
              </c:extLst>
            </c:dLbl>
            <c:dLbl>
              <c:idx val="2"/>
              <c:layout>
                <c:manualLayout>
                  <c:x val="0.42520555113454495"/>
                  <c:y val="2.5967020180498051E-2"/>
                </c:manualLayout>
              </c:layout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MU Serif Roman" panose="02000603000000000000" pitchFamily="2" charset="0"/>
                      <a:ea typeface="CMU Serif Roman" panose="02000603000000000000" pitchFamily="2" charset="0"/>
                      <a:cs typeface="CMU Serif Roman" panose="02000603000000000000" pitchFamily="2" charset="0"/>
                    </a:defRPr>
                  </a:pPr>
                  <a:endParaRPr lang="de-DE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78-7740-A079-79E8CEF1E314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MU Serif Roman" panose="02000603000000000000" pitchFamily="2" charset="0"/>
                    <a:ea typeface="CMU Serif Roman" panose="02000603000000000000" pitchFamily="2" charset="0"/>
                    <a:cs typeface="CMU Serif Roman" panose="02000603000000000000" pitchFamily="2" charset="0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TradingVolume2025!$A$2:$A$4</c:f>
              <c:strCache>
                <c:ptCount val="3"/>
                <c:pt idx="0">
                  <c:v>Derivatives</c:v>
                </c:pt>
                <c:pt idx="1">
                  <c:v>Day-Ahead (Forward/Spot)</c:v>
                </c:pt>
                <c:pt idx="2">
                  <c:v>Intraday (Continuous+Auctions)</c:v>
                </c:pt>
              </c:strCache>
            </c:strRef>
          </c:cat>
          <c:val>
            <c:numRef>
              <c:f>TradingVolume2025!$B$2:$B$4</c:f>
              <c:numCache>
                <c:formatCode>General</c:formatCode>
                <c:ptCount val="3"/>
                <c:pt idx="0">
                  <c:v>9330</c:v>
                </c:pt>
                <c:pt idx="1">
                  <c:v>676</c:v>
                </c:pt>
                <c:pt idx="2">
                  <c:v>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178-7740-A079-79E8CEF1E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0" i="0">
          <a:latin typeface="CMU Serif Roman" panose="02000603000000000000" pitchFamily="2" charset="0"/>
          <a:ea typeface="CMU Serif Roman" panose="02000603000000000000" pitchFamily="2" charset="0"/>
          <a:cs typeface="CMU Serif Roman" panose="02000603000000000000" pitchFamily="2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273050</xdr:colOff>
      <xdr:row>0</xdr:row>
      <xdr:rowOff>50800</xdr:rowOff>
    </xdr:from>
    <xdr:to>
      <xdr:col>14</xdr:col>
      <xdr:colOff>114300</xdr:colOff>
      <xdr:row>32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E1209AE-2D12-7A30-8150-48D8DC1E6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793750</xdr:colOff>
      <xdr:row>3</xdr:row>
      <xdr:rowOff>101600</xdr:rowOff>
    </xdr:from>
    <xdr:to>
      <xdr:col>15</xdr:col>
      <xdr:colOff>431800</xdr:colOff>
      <xdr:row>32</xdr:row>
      <xdr:rowOff>76200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E9EECB31-E50A-FD48-6428-4B42D2382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626534</xdr:colOff>
      <xdr:row>40</xdr:row>
      <xdr:rowOff>135466</xdr:rowOff>
    </xdr:from>
    <xdr:to>
      <xdr:col>20</xdr:col>
      <xdr:colOff>518583</xdr:colOff>
      <xdr:row>69</xdr:row>
      <xdr:rowOff>111649</xdr:rowOff>
    </xdr:to>
    <xdr:grpSp>
      <xdr:nvGrpSpPr>
        <xdr:cNvPr id="7" name="Gruppieren 6">
          <a:extLst>
            <a:ext uri="{FF2B5EF4-FFF2-40B4-BE49-F238E27FC236}">
              <a16:creationId xmlns:a16="http://schemas.microsoft.com/office/drawing/2014/main" id="{D6B84C33-A755-6012-FF60-9AA3E836A890}"/>
            </a:ext>
          </a:extLst>
        </xdr:cNvPr>
        <xdr:cNvGrpSpPr/>
      </xdr:nvGrpSpPr>
      <xdr:grpSpPr>
        <a:xfrm>
          <a:off x="1452034" y="8771466"/>
          <a:ext cx="16706849" cy="6237283"/>
          <a:chOff x="1452034" y="8263466"/>
          <a:chExt cx="16706849" cy="5868983"/>
        </a:xfrm>
      </xdr:grpSpPr>
      <xdr:graphicFrame macro="">
        <xdr:nvGraphicFramePr>
          <xdr:cNvPr id="5" name="Diagramm 4">
            <a:extLst>
              <a:ext uri="{FF2B5EF4-FFF2-40B4-BE49-F238E27FC236}">
                <a16:creationId xmlns:a16="http://schemas.microsoft.com/office/drawing/2014/main" id="{FBDEDAF0-B18E-1A44-B70F-4E72D9FD74CE}"/>
              </a:ext>
            </a:extLst>
          </xdr:cNvPr>
          <xdr:cNvGraphicFramePr>
            <a:graphicFrameLocks/>
          </xdr:cNvGraphicFramePr>
        </xdr:nvGraphicFramePr>
        <xdr:xfrm>
          <a:off x="9220200" y="8263467"/>
          <a:ext cx="8938683" cy="58674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6" name="Diagramm 5">
            <a:extLst>
              <a:ext uri="{FF2B5EF4-FFF2-40B4-BE49-F238E27FC236}">
                <a16:creationId xmlns:a16="http://schemas.microsoft.com/office/drawing/2014/main" id="{8FB50D78-0679-294B-B256-F4B9DCD8A32F}"/>
              </a:ext>
            </a:extLst>
          </xdr:cNvPr>
          <xdr:cNvGraphicFramePr>
            <a:graphicFrameLocks/>
          </xdr:cNvGraphicFramePr>
        </xdr:nvGraphicFramePr>
        <xdr:xfrm>
          <a:off x="1452034" y="8263466"/>
          <a:ext cx="7735788" cy="586898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7C08-EC14-124C-8145-0AA14DBB2125}">
  <sheetPr>
    <tabColor theme="1"/>
  </sheetPr>
  <dimension ref="A1"/>
  <sheetViews>
    <sheetView showGridLines="0" workbookViewId="0">
      <selection activeCell="G13" sqref="G13"/>
    </sheetView>
  </sheetViews>
  <sheetFormatPr baseColWidth="10" defaultRowHeight="16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3957-6496-A240-B257-842B2CBF111B}">
  <dimension ref="A1:C12"/>
  <sheetViews>
    <sheetView showGridLines="0" workbookViewId="0">
      <selection activeCell="B26" sqref="B26"/>
    </sheetView>
  </sheetViews>
  <sheetFormatPr baseColWidth="10" defaultRowHeight="17" x14ac:dyDescent="0.25"/>
  <cols>
    <col min="1" max="2" width="27.33203125" style="3" bestFit="1" customWidth="1"/>
    <col min="3" max="16384" width="10.83203125" style="3"/>
  </cols>
  <sheetData>
    <row r="1" spans="1:3" x14ac:dyDescent="0.25">
      <c r="A1" s="1" t="s">
        <v>0</v>
      </c>
      <c r="B1" s="1" t="s">
        <v>5</v>
      </c>
      <c r="C1" s="1" t="s">
        <v>30</v>
      </c>
    </row>
    <row r="2" spans="1:3" x14ac:dyDescent="0.25">
      <c r="A2" s="1" t="s">
        <v>1</v>
      </c>
      <c r="B2" s="1">
        <v>9330</v>
      </c>
      <c r="C2" s="7">
        <f>B2/$B$5</f>
        <v>0.91051039328583971</v>
      </c>
    </row>
    <row r="3" spans="1:3" x14ac:dyDescent="0.25">
      <c r="A3" s="1" t="s">
        <v>2</v>
      </c>
      <c r="B3" s="1">
        <v>676</v>
      </c>
      <c r="C3" s="7">
        <f t="shared" ref="C3:C4" si="0">B3/$B$5</f>
        <v>6.5970527959402753E-2</v>
      </c>
    </row>
    <row r="4" spans="1:3" x14ac:dyDescent="0.25">
      <c r="A4" s="1" t="s">
        <v>3</v>
      </c>
      <c r="B4" s="1">
        <v>241</v>
      </c>
      <c r="C4" s="7">
        <f t="shared" si="0"/>
        <v>2.3519078754757491E-2</v>
      </c>
    </row>
    <row r="5" spans="1:3" x14ac:dyDescent="0.25">
      <c r="A5" s="1" t="s">
        <v>4</v>
      </c>
      <c r="B5" s="1">
        <f>SUM(B2:B4)</f>
        <v>10247</v>
      </c>
      <c r="C5" s="1"/>
    </row>
    <row r="7" spans="1:3" x14ac:dyDescent="0.25">
      <c r="B7" s="3">
        <f>B3+B4</f>
        <v>917</v>
      </c>
    </row>
    <row r="11" spans="1:3" x14ac:dyDescent="0.25">
      <c r="A11" s="1" t="s">
        <v>183</v>
      </c>
      <c r="B11" s="1"/>
    </row>
    <row r="12" spans="1:3" x14ac:dyDescent="0.25">
      <c r="A12" s="1" t="s">
        <v>184</v>
      </c>
      <c r="B12" s="6">
        <v>46161.875</v>
      </c>
    </row>
  </sheetData>
  <pageMargins left="0.7" right="0.7" top="0.78740157499999996" bottom="0.78740157499999996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39FA-3423-F641-A80D-8858363A2258}">
  <dimension ref="A1:G25"/>
  <sheetViews>
    <sheetView showGridLines="0" tabSelected="1" topLeftCell="A39" workbookViewId="0">
      <selection activeCell="I75" sqref="I75"/>
    </sheetView>
  </sheetViews>
  <sheetFormatPr baseColWidth="10" defaultRowHeight="17" x14ac:dyDescent="0.25"/>
  <cols>
    <col min="1" max="1" width="10.83203125" style="3"/>
    <col min="2" max="2" width="18.6640625" style="3" bestFit="1" customWidth="1"/>
    <col min="3" max="3" width="15" style="3" bestFit="1" customWidth="1"/>
    <col min="4" max="6" width="10.83203125" style="3"/>
    <col min="7" max="7" width="13.6640625" style="3" bestFit="1" customWidth="1"/>
    <col min="8" max="16384" width="10.83203125" style="3"/>
  </cols>
  <sheetData>
    <row r="1" spans="1:7" x14ac:dyDescent="0.25">
      <c r="A1" s="1" t="s">
        <v>31</v>
      </c>
      <c r="B1" s="2" t="s">
        <v>185</v>
      </c>
      <c r="C1" s="1" t="s">
        <v>186</v>
      </c>
    </row>
    <row r="2" spans="1:7" x14ac:dyDescent="0.25">
      <c r="A2" s="4" t="s">
        <v>6</v>
      </c>
      <c r="B2" s="5">
        <v>31</v>
      </c>
      <c r="C2" s="5">
        <v>119</v>
      </c>
      <c r="F2" s="1" t="s">
        <v>183</v>
      </c>
      <c r="G2" s="1"/>
    </row>
    <row r="3" spans="1:7" x14ac:dyDescent="0.25">
      <c r="A3" s="4" t="s">
        <v>7</v>
      </c>
      <c r="B3" s="5">
        <v>49</v>
      </c>
      <c r="C3" s="5">
        <v>432</v>
      </c>
      <c r="F3" s="1" t="s">
        <v>184</v>
      </c>
      <c r="G3" s="6">
        <v>46161.875</v>
      </c>
    </row>
    <row r="4" spans="1:7" x14ac:dyDescent="0.25">
      <c r="A4" s="4" t="s">
        <v>8</v>
      </c>
      <c r="B4" s="5">
        <v>60</v>
      </c>
      <c r="C4" s="5">
        <v>338</v>
      </c>
    </row>
    <row r="5" spans="1:7" x14ac:dyDescent="0.25">
      <c r="A5" s="4" t="s">
        <v>9</v>
      </c>
      <c r="B5" s="5">
        <v>86</v>
      </c>
      <c r="C5" s="5">
        <v>517</v>
      </c>
    </row>
    <row r="6" spans="1:7" x14ac:dyDescent="0.25">
      <c r="A6" s="4" t="s">
        <v>10</v>
      </c>
      <c r="B6" s="5">
        <v>89</v>
      </c>
      <c r="C6" s="5">
        <v>1044</v>
      </c>
    </row>
    <row r="7" spans="1:7" x14ac:dyDescent="0.25">
      <c r="A7" s="4" t="s">
        <v>11</v>
      </c>
      <c r="B7" s="5">
        <v>124</v>
      </c>
      <c r="C7" s="5">
        <v>1150</v>
      </c>
    </row>
    <row r="8" spans="1:7" x14ac:dyDescent="0.25">
      <c r="A8" s="4" t="s">
        <v>12</v>
      </c>
      <c r="B8" s="5">
        <v>154</v>
      </c>
      <c r="C8" s="5">
        <v>1165</v>
      </c>
    </row>
    <row r="9" spans="1:7" x14ac:dyDescent="0.25">
      <c r="A9" s="4" t="s">
        <v>13</v>
      </c>
      <c r="B9" s="5">
        <v>203</v>
      </c>
      <c r="C9" s="5">
        <v>1025</v>
      </c>
    </row>
    <row r="10" spans="1:7" x14ac:dyDescent="0.25">
      <c r="A10" s="4" t="s">
        <v>14</v>
      </c>
      <c r="B10" s="5">
        <v>279</v>
      </c>
      <c r="C10" s="5">
        <v>1208</v>
      </c>
    </row>
    <row r="11" spans="1:7" x14ac:dyDescent="0.25">
      <c r="A11" s="4" t="s">
        <v>15</v>
      </c>
      <c r="B11" s="5">
        <v>309</v>
      </c>
      <c r="C11" s="5">
        <v>1075</v>
      </c>
    </row>
    <row r="12" spans="1:7" x14ac:dyDescent="0.25">
      <c r="A12" s="4" t="s">
        <v>16</v>
      </c>
      <c r="B12" s="5">
        <v>339</v>
      </c>
      <c r="C12" s="5">
        <v>931</v>
      </c>
    </row>
    <row r="13" spans="1:7" x14ac:dyDescent="0.25">
      <c r="A13" s="4" t="s">
        <v>17</v>
      </c>
      <c r="B13" s="5">
        <v>345</v>
      </c>
      <c r="C13" s="5">
        <v>1266</v>
      </c>
    </row>
    <row r="14" spans="1:7" x14ac:dyDescent="0.25">
      <c r="A14" s="4" t="s">
        <v>18</v>
      </c>
      <c r="B14" s="5">
        <v>387</v>
      </c>
      <c r="C14" s="5">
        <v>1570</v>
      </c>
    </row>
    <row r="15" spans="1:7" x14ac:dyDescent="0.25">
      <c r="A15" s="4" t="s">
        <v>19</v>
      </c>
      <c r="B15" s="5">
        <v>524</v>
      </c>
      <c r="C15" s="5">
        <v>2537</v>
      </c>
    </row>
    <row r="16" spans="1:7" x14ac:dyDescent="0.25">
      <c r="A16" s="4" t="s">
        <v>20</v>
      </c>
      <c r="B16" s="5">
        <v>535</v>
      </c>
      <c r="C16" s="5">
        <v>3920</v>
      </c>
    </row>
    <row r="17" spans="1:3" x14ac:dyDescent="0.25">
      <c r="A17" s="4" t="s">
        <v>21</v>
      </c>
      <c r="B17" s="5">
        <v>543</v>
      </c>
      <c r="C17" s="5">
        <v>2822</v>
      </c>
    </row>
    <row r="18" spans="1:3" x14ac:dyDescent="0.25">
      <c r="A18" s="4" t="s">
        <v>22</v>
      </c>
      <c r="B18" s="5">
        <v>577</v>
      </c>
      <c r="C18" s="5">
        <v>3347</v>
      </c>
    </row>
    <row r="19" spans="1:3" x14ac:dyDescent="0.25">
      <c r="A19" s="4" t="s">
        <v>23</v>
      </c>
      <c r="B19" s="5">
        <v>598</v>
      </c>
      <c r="C19" s="5">
        <v>3973</v>
      </c>
    </row>
    <row r="20" spans="1:3" x14ac:dyDescent="0.25">
      <c r="A20" s="4" t="s">
        <v>24</v>
      </c>
      <c r="B20" s="5">
        <v>622</v>
      </c>
      <c r="C20" s="5">
        <v>4736</v>
      </c>
    </row>
    <row r="21" spans="1:3" x14ac:dyDescent="0.25">
      <c r="A21" s="4" t="s">
        <v>25</v>
      </c>
      <c r="B21" s="5">
        <v>629</v>
      </c>
      <c r="C21" s="5">
        <v>4568</v>
      </c>
    </row>
    <row r="22" spans="1:3" x14ac:dyDescent="0.25">
      <c r="A22" s="4" t="s">
        <v>26</v>
      </c>
      <c r="B22" s="5">
        <v>616</v>
      </c>
      <c r="C22" s="5">
        <v>3344</v>
      </c>
    </row>
    <row r="23" spans="1:3" x14ac:dyDescent="0.25">
      <c r="A23" s="4" t="s">
        <v>27</v>
      </c>
      <c r="B23" s="5">
        <v>724</v>
      </c>
      <c r="C23" s="5">
        <v>5185</v>
      </c>
    </row>
    <row r="24" spans="1:3" x14ac:dyDescent="0.25">
      <c r="A24" s="4" t="s">
        <v>28</v>
      </c>
      <c r="B24" s="5">
        <v>868</v>
      </c>
      <c r="C24" s="5">
        <v>8439</v>
      </c>
    </row>
    <row r="25" spans="1:3" x14ac:dyDescent="0.25">
      <c r="A25" s="4" t="s">
        <v>29</v>
      </c>
      <c r="B25" s="5">
        <v>917</v>
      </c>
      <c r="C25" s="5">
        <v>9330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B9F8-D9FB-064F-AC55-DDB4E5BCFF39}">
  <dimension ref="A1:G32"/>
  <sheetViews>
    <sheetView showGridLines="0" workbookViewId="0">
      <selection activeCell="D29" sqref="A1:XFD1048576"/>
    </sheetView>
  </sheetViews>
  <sheetFormatPr baseColWidth="10" defaultRowHeight="17" x14ac:dyDescent="0.25"/>
  <cols>
    <col min="1" max="1" width="14.6640625" style="3" bestFit="1" customWidth="1"/>
    <col min="2" max="2" width="19.33203125" style="3" bestFit="1" customWidth="1"/>
    <col min="3" max="3" width="28.33203125" style="3" bestFit="1" customWidth="1"/>
    <col min="4" max="4" width="29.83203125" style="3" bestFit="1" customWidth="1"/>
    <col min="5" max="5" width="28.6640625" style="3" bestFit="1" customWidth="1"/>
    <col min="6" max="6" width="30.1640625" style="3" bestFit="1" customWidth="1"/>
    <col min="7" max="7" width="27.5" style="3" bestFit="1" customWidth="1"/>
    <col min="8" max="16384" width="10.83203125" style="3"/>
  </cols>
  <sheetData>
    <row r="1" spans="1:7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 x14ac:dyDescent="0.2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>
        <v>24</v>
      </c>
    </row>
    <row r="3" spans="1:7" x14ac:dyDescent="0.25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  <c r="G3" s="1">
        <v>23</v>
      </c>
    </row>
    <row r="4" spans="1:7" x14ac:dyDescent="0.25">
      <c r="A4" s="1" t="s">
        <v>51</v>
      </c>
      <c r="B4" s="1" t="s">
        <v>52</v>
      </c>
      <c r="C4" s="1" t="s">
        <v>53</v>
      </c>
      <c r="D4" s="1" t="s">
        <v>54</v>
      </c>
      <c r="E4" s="1" t="s">
        <v>55</v>
      </c>
      <c r="F4" s="1" t="s">
        <v>56</v>
      </c>
      <c r="G4" s="1">
        <v>22</v>
      </c>
    </row>
    <row r="5" spans="1:7" x14ac:dyDescent="0.25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  <c r="F5" s="1" t="s">
        <v>62</v>
      </c>
      <c r="G5" s="1">
        <v>21</v>
      </c>
    </row>
    <row r="6" spans="1:7" x14ac:dyDescent="0.25">
      <c r="A6" s="1" t="s">
        <v>63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>
        <v>20</v>
      </c>
    </row>
    <row r="7" spans="1:7" x14ac:dyDescent="0.25">
      <c r="A7" s="1" t="s">
        <v>69</v>
      </c>
      <c r="B7" s="1" t="s">
        <v>70</v>
      </c>
      <c r="C7" s="1" t="s">
        <v>71</v>
      </c>
      <c r="D7" s="1" t="s">
        <v>72</v>
      </c>
      <c r="E7" s="1" t="s">
        <v>73</v>
      </c>
      <c r="F7" s="1" t="s">
        <v>74</v>
      </c>
      <c r="G7" s="1">
        <v>19</v>
      </c>
    </row>
    <row r="8" spans="1:7" x14ac:dyDescent="0.25">
      <c r="A8" s="1" t="s">
        <v>75</v>
      </c>
      <c r="B8" s="1" t="s">
        <v>76</v>
      </c>
      <c r="C8" s="1" t="s">
        <v>77</v>
      </c>
      <c r="D8" s="1" t="s">
        <v>78</v>
      </c>
      <c r="E8" s="1" t="s">
        <v>79</v>
      </c>
      <c r="F8" s="1" t="s">
        <v>80</v>
      </c>
      <c r="G8" s="1">
        <v>18</v>
      </c>
    </row>
    <row r="9" spans="1:7" x14ac:dyDescent="0.25">
      <c r="A9" s="1" t="s">
        <v>81</v>
      </c>
      <c r="B9" s="1" t="s">
        <v>82</v>
      </c>
      <c r="C9" s="1" t="s">
        <v>83</v>
      </c>
      <c r="D9" s="1" t="s">
        <v>84</v>
      </c>
      <c r="E9" s="1" t="s">
        <v>85</v>
      </c>
      <c r="F9" s="1" t="s">
        <v>86</v>
      </c>
      <c r="G9" s="1">
        <v>17</v>
      </c>
    </row>
    <row r="10" spans="1:7" x14ac:dyDescent="0.25">
      <c r="A10" s="1" t="s">
        <v>87</v>
      </c>
      <c r="B10" s="1" t="s">
        <v>88</v>
      </c>
      <c r="C10" s="1" t="s">
        <v>89</v>
      </c>
      <c r="D10" s="1" t="s">
        <v>90</v>
      </c>
      <c r="E10" s="1" t="s">
        <v>91</v>
      </c>
      <c r="F10" s="1" t="s">
        <v>92</v>
      </c>
      <c r="G10" s="1">
        <v>16</v>
      </c>
    </row>
    <row r="11" spans="1:7" x14ac:dyDescent="0.25">
      <c r="A11" s="1" t="s">
        <v>93</v>
      </c>
      <c r="B11" s="1" t="s">
        <v>94</v>
      </c>
      <c r="C11" s="1" t="s">
        <v>95</v>
      </c>
      <c r="D11" s="1" t="s">
        <v>96</v>
      </c>
      <c r="E11" s="1" t="s">
        <v>97</v>
      </c>
      <c r="F11" s="1" t="s">
        <v>98</v>
      </c>
      <c r="G11" s="1">
        <v>15</v>
      </c>
    </row>
    <row r="12" spans="1:7" x14ac:dyDescent="0.25">
      <c r="A12" s="1" t="s">
        <v>99</v>
      </c>
      <c r="B12" s="1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>
        <v>14</v>
      </c>
    </row>
    <row r="13" spans="1:7" x14ac:dyDescent="0.25">
      <c r="A13" s="1" t="s">
        <v>105</v>
      </c>
      <c r="B13" s="1" t="s">
        <v>106</v>
      </c>
      <c r="C13" s="1" t="s">
        <v>107</v>
      </c>
      <c r="D13" s="1" t="s">
        <v>108</v>
      </c>
      <c r="E13" s="1" t="s">
        <v>109</v>
      </c>
      <c r="F13" s="1" t="s">
        <v>110</v>
      </c>
      <c r="G13" s="1">
        <v>13</v>
      </c>
    </row>
    <row r="14" spans="1:7" x14ac:dyDescent="0.25">
      <c r="A14" s="1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>
        <v>12</v>
      </c>
    </row>
    <row r="15" spans="1:7" x14ac:dyDescent="0.25">
      <c r="A15" s="1" t="s">
        <v>117</v>
      </c>
      <c r="B15" s="1" t="s">
        <v>118</v>
      </c>
      <c r="C15" s="1" t="s">
        <v>119</v>
      </c>
      <c r="D15" s="1" t="s">
        <v>120</v>
      </c>
      <c r="E15" s="1" t="s">
        <v>121</v>
      </c>
      <c r="F15" s="1" t="s">
        <v>122</v>
      </c>
      <c r="G15" s="1">
        <v>11</v>
      </c>
    </row>
    <row r="16" spans="1:7" x14ac:dyDescent="0.25">
      <c r="A16" s="1" t="s">
        <v>123</v>
      </c>
      <c r="B16" s="1" t="s">
        <v>124</v>
      </c>
      <c r="C16" s="1" t="s">
        <v>125</v>
      </c>
      <c r="D16" s="1" t="s">
        <v>126</v>
      </c>
      <c r="E16" s="1" t="s">
        <v>127</v>
      </c>
      <c r="F16" s="1" t="s">
        <v>128</v>
      </c>
      <c r="G16" s="1">
        <v>10</v>
      </c>
    </row>
    <row r="17" spans="1:7" x14ac:dyDescent="0.25">
      <c r="A17" s="1" t="s">
        <v>129</v>
      </c>
      <c r="B17" s="1" t="s">
        <v>130</v>
      </c>
      <c r="C17" s="1" t="s">
        <v>131</v>
      </c>
      <c r="D17" s="1" t="s">
        <v>132</v>
      </c>
      <c r="E17" s="1" t="s">
        <v>133</v>
      </c>
      <c r="F17" s="1" t="s">
        <v>134</v>
      </c>
      <c r="G17" s="1">
        <v>9</v>
      </c>
    </row>
    <row r="18" spans="1:7" x14ac:dyDescent="0.25">
      <c r="A18" s="1" t="s">
        <v>135</v>
      </c>
      <c r="B18" s="1" t="s">
        <v>136</v>
      </c>
      <c r="C18" s="1" t="s">
        <v>137</v>
      </c>
      <c r="D18" s="1" t="s">
        <v>138</v>
      </c>
      <c r="E18" s="1" t="s">
        <v>139</v>
      </c>
      <c r="F18" s="1" t="s">
        <v>140</v>
      </c>
      <c r="G18" s="1">
        <v>8</v>
      </c>
    </row>
    <row r="19" spans="1:7" x14ac:dyDescent="0.25">
      <c r="A19" s="1" t="s">
        <v>141</v>
      </c>
      <c r="B19" s="1" t="s">
        <v>142</v>
      </c>
      <c r="C19" s="1" t="s">
        <v>143</v>
      </c>
      <c r="D19" s="1" t="s">
        <v>144</v>
      </c>
      <c r="E19" s="1" t="s">
        <v>145</v>
      </c>
      <c r="F19" s="1" t="s">
        <v>146</v>
      </c>
      <c r="G19" s="1">
        <v>7</v>
      </c>
    </row>
    <row r="20" spans="1:7" x14ac:dyDescent="0.25">
      <c r="A20" s="1" t="s">
        <v>147</v>
      </c>
      <c r="B20" s="1" t="s">
        <v>148</v>
      </c>
      <c r="C20" s="1" t="s">
        <v>149</v>
      </c>
      <c r="D20" s="1" t="s">
        <v>150</v>
      </c>
      <c r="E20" s="1" t="s">
        <v>151</v>
      </c>
      <c r="F20" s="1" t="s">
        <v>152</v>
      </c>
      <c r="G20" s="1">
        <v>6</v>
      </c>
    </row>
    <row r="21" spans="1:7" x14ac:dyDescent="0.25">
      <c r="A21" s="1" t="s">
        <v>153</v>
      </c>
      <c r="B21" s="1" t="s">
        <v>154</v>
      </c>
      <c r="C21" s="1" t="s">
        <v>155</v>
      </c>
      <c r="D21" s="1" t="s">
        <v>156</v>
      </c>
      <c r="E21" s="1" t="s">
        <v>157</v>
      </c>
      <c r="F21" s="1" t="s">
        <v>158</v>
      </c>
      <c r="G21" s="1">
        <v>5</v>
      </c>
    </row>
    <row r="22" spans="1:7" x14ac:dyDescent="0.25">
      <c r="A22" s="1" t="s">
        <v>159</v>
      </c>
      <c r="B22" s="1" t="s">
        <v>160</v>
      </c>
      <c r="C22" s="1" t="s">
        <v>161</v>
      </c>
      <c r="D22" s="1" t="s">
        <v>162</v>
      </c>
      <c r="E22" s="1" t="s">
        <v>163</v>
      </c>
      <c r="F22" s="1" t="s">
        <v>164</v>
      </c>
      <c r="G22" s="1">
        <v>4</v>
      </c>
    </row>
    <row r="23" spans="1:7" x14ac:dyDescent="0.25">
      <c r="A23" s="1" t="s">
        <v>165</v>
      </c>
      <c r="B23" s="1" t="s">
        <v>166</v>
      </c>
      <c r="C23" s="1" t="s">
        <v>167</v>
      </c>
      <c r="D23" s="1" t="s">
        <v>168</v>
      </c>
      <c r="E23" s="1" t="s">
        <v>169</v>
      </c>
      <c r="F23" s="1" t="s">
        <v>170</v>
      </c>
      <c r="G23" s="1">
        <v>3</v>
      </c>
    </row>
    <row r="24" spans="1:7" x14ac:dyDescent="0.25">
      <c r="A24" s="1" t="s">
        <v>171</v>
      </c>
      <c r="B24" s="1" t="s">
        <v>172</v>
      </c>
      <c r="C24" s="1" t="s">
        <v>173</v>
      </c>
      <c r="D24" s="1" t="s">
        <v>174</v>
      </c>
      <c r="E24" s="1" t="s">
        <v>175</v>
      </c>
      <c r="F24" s="1" t="s">
        <v>176</v>
      </c>
      <c r="G24" s="1">
        <v>2</v>
      </c>
    </row>
    <row r="25" spans="1:7" x14ac:dyDescent="0.25">
      <c r="A25" s="1" t="s">
        <v>177</v>
      </c>
      <c r="B25" s="1" t="s">
        <v>178</v>
      </c>
      <c r="C25" s="1" t="s">
        <v>179</v>
      </c>
      <c r="D25" s="1" t="s">
        <v>180</v>
      </c>
      <c r="E25" s="1" t="s">
        <v>181</v>
      </c>
      <c r="F25" s="1" t="s">
        <v>182</v>
      </c>
      <c r="G25" s="1">
        <v>1</v>
      </c>
    </row>
    <row r="31" spans="1:7" x14ac:dyDescent="0.25">
      <c r="A31" s="1" t="s">
        <v>183</v>
      </c>
      <c r="B31" s="1"/>
    </row>
    <row r="32" spans="1:7" x14ac:dyDescent="0.25">
      <c r="A32" s="1" t="s">
        <v>184</v>
      </c>
      <c r="B32" s="6">
        <v>46161.875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Combined-&gt;</vt:lpstr>
      <vt:lpstr>TradingVolume2025</vt:lpstr>
      <vt:lpstr>TradingVolumeHistoric</vt:lpstr>
      <vt:lpstr>HourlyProductsTable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Hennings, Robert</dc:creator>
  <cp:lastModifiedBy>Hennings, Robert</cp:lastModifiedBy>
  <dcterms:created xsi:type="dcterms:W3CDTF">2026-05-19T18:16:15Z</dcterms:created>
  <dcterms:modified xsi:type="dcterms:W3CDTF">2026-05-27T12:24:51Z</dcterms:modified>
</cp:coreProperties>
</file>